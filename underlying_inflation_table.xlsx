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6232404f46f11b2/Economic Research/Underlying Inflation/"/>
    </mc:Choice>
  </mc:AlternateContent>
  <xr:revisionPtr revIDLastSave="23" documentId="11_085D3EB75671940F62355476581B663E95518287" xr6:coauthVersionLast="47" xr6:coauthVersionMax="47" xr10:uidLastSave="{422C48A9-2371-4593-B9CC-53568DD7374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I14" i="1"/>
  <c r="D14" i="1"/>
  <c r="E14" i="1"/>
  <c r="F14" i="1"/>
  <c r="G14" i="1"/>
  <c r="H14" i="1"/>
  <c r="D15" i="1"/>
  <c r="E15" i="1"/>
  <c r="F15" i="1"/>
  <c r="G15" i="1"/>
  <c r="H15" i="1"/>
  <c r="I15" i="1"/>
  <c r="C14" i="1"/>
  <c r="C15" i="1"/>
  <c r="B15" i="1"/>
  <c r="B14" i="1"/>
</calcChain>
</file>

<file path=xl/sharedStrings.xml><?xml version="1.0" encoding="utf-8"?>
<sst xmlns="http://schemas.openxmlformats.org/spreadsheetml/2006/main" count="24" uniqueCount="24">
  <si>
    <t>Measure</t>
  </si>
  <si>
    <t>1998-2007</t>
  </si>
  <si>
    <t>2010-2019</t>
  </si>
  <si>
    <t>Dec-25</t>
  </si>
  <si>
    <t>Jan-26</t>
  </si>
  <si>
    <t>Feb-26</t>
  </si>
  <si>
    <t>Mar-26</t>
  </si>
  <si>
    <t>Apr-26</t>
  </si>
  <si>
    <t>May-26</t>
  </si>
  <si>
    <t>Core PCE (12-month)</t>
  </si>
  <si>
    <t>Market-based core PCE (12-month)</t>
  </si>
  <si>
    <t>Trimmed mean PCE (FRB Dallas)</t>
  </si>
  <si>
    <t>Median PCE (FRB Cleveland)</t>
  </si>
  <si>
    <t>Multivariate Core Trend (FRB New York)</t>
  </si>
  <si>
    <t>Stock-Watson UCSV</t>
  </si>
  <si>
    <t>Time-varying AR</t>
  </si>
  <si>
    <t>TVP-VAR, overall core</t>
  </si>
  <si>
    <t>TVP-VAR, market-based core</t>
  </si>
  <si>
    <t>Phillips curve (Michigan expectations)</t>
  </si>
  <si>
    <t>Augmented AR inflation gap (Michigan)</t>
  </si>
  <si>
    <t>Augmented AR inflation gap (TIPS)</t>
  </si>
  <si>
    <t>Median Estimate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</si>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</sst>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4" sqref="K4"/>
    </sheetView>
  </sheetViews>
  <sheetFormatPr defaultRowHeight="14.5" x14ac:dyDescent="0.35"/>
  <cols>
    <col min="1" max="1" width="34.6328125" bestFit="1" customWidth="1"/>
    <col min="2" max="3" width="9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s="1" t="s">
        <v>9</v>
      </c>
      <c r="B2" s="3">
        <v>1.83</v>
      </c>
      <c r="C2" s="3">
        <v>1.59</v>
      </c>
      <c r="D2" s="3">
        <v>2.97</v>
      </c>
      <c r="E2" s="3">
        <v>3.1</v>
      </c>
      <c r="F2" s="3">
        <v>3.05</v>
      </c>
      <c r="G2" s="3">
        <v>3.25</v>
      </c>
      <c r="H2" s="3">
        <v>3.32</v>
      </c>
      <c r="I2" s="3">
        <v>3.41</v>
      </c>
    </row>
    <row r="3" spans="1:11" x14ac:dyDescent="0.35">
      <c r="A3" s="1" t="s">
        <v>10</v>
      </c>
      <c r="B3" s="3">
        <v>1.64</v>
      </c>
      <c r="C3" s="3">
        <v>1.33</v>
      </c>
      <c r="D3" s="3">
        <v>2.73</v>
      </c>
      <c r="E3" s="3">
        <v>2.83</v>
      </c>
      <c r="F3" s="3">
        <v>2.89</v>
      </c>
      <c r="G3" s="3">
        <v>3.1</v>
      </c>
      <c r="H3" s="3">
        <v>3.11</v>
      </c>
      <c r="I3" s="3">
        <v>3.16</v>
      </c>
      <c r="K3" s="3">
        <f>AVERAGE(I3:I8,I10:I13)</f>
        <v>3.0779999999999998</v>
      </c>
    </row>
    <row r="4" spans="1:11" x14ac:dyDescent="0.35">
      <c r="A4" s="1" t="s">
        <v>11</v>
      </c>
      <c r="B4" s="3">
        <v>2.19</v>
      </c>
      <c r="C4" s="3">
        <v>1.64</v>
      </c>
      <c r="D4" s="3">
        <v>2.44</v>
      </c>
      <c r="E4" s="3">
        <v>2.41</v>
      </c>
      <c r="F4" s="3">
        <v>2.34</v>
      </c>
      <c r="G4" s="3">
        <v>2.36</v>
      </c>
      <c r="H4" s="3">
        <v>2.34</v>
      </c>
      <c r="I4" s="3">
        <v>2.41</v>
      </c>
      <c r="K4" s="3">
        <f>MEDIAN(I3:I8,I10:I13)</f>
        <v>3.09</v>
      </c>
    </row>
    <row r="5" spans="1:11" x14ac:dyDescent="0.35">
      <c r="A5" s="1" t="s">
        <v>12</v>
      </c>
      <c r="B5" s="3">
        <v>2.66</v>
      </c>
      <c r="C5" s="3">
        <v>2.02</v>
      </c>
      <c r="D5" s="3">
        <v>2.95</v>
      </c>
      <c r="E5" s="3">
        <v>2.89</v>
      </c>
      <c r="F5" s="3">
        <v>2.83</v>
      </c>
      <c r="G5" s="3">
        <v>2.81</v>
      </c>
      <c r="H5" s="3">
        <v>2.76</v>
      </c>
      <c r="I5" s="3">
        <v>2.82</v>
      </c>
    </row>
    <row r="6" spans="1:11" x14ac:dyDescent="0.35">
      <c r="A6" s="1" t="s">
        <v>13</v>
      </c>
      <c r="B6" s="3">
        <v>1.9</v>
      </c>
      <c r="C6" s="3">
        <v>1.66</v>
      </c>
      <c r="D6" s="3">
        <v>3.13</v>
      </c>
      <c r="E6" s="3">
        <v>3.21</v>
      </c>
      <c r="F6" s="3">
        <v>3.3</v>
      </c>
      <c r="G6" s="3">
        <v>3.46</v>
      </c>
      <c r="H6" s="3">
        <v>3.65</v>
      </c>
      <c r="I6" s="3">
        <v>3.42</v>
      </c>
    </row>
    <row r="7" spans="1:11" x14ac:dyDescent="0.35">
      <c r="A7" s="1" t="s">
        <v>14</v>
      </c>
      <c r="B7" s="3">
        <v>1.88</v>
      </c>
      <c r="C7" s="3">
        <v>1.7</v>
      </c>
      <c r="D7" s="3">
        <v>3.01</v>
      </c>
      <c r="E7" s="3">
        <v>3.02</v>
      </c>
      <c r="F7" s="3">
        <v>3.01</v>
      </c>
      <c r="G7" s="3">
        <v>3.02</v>
      </c>
      <c r="H7" s="3">
        <v>3.02</v>
      </c>
      <c r="I7" s="3">
        <v>3.02</v>
      </c>
    </row>
    <row r="8" spans="1:11" x14ac:dyDescent="0.35">
      <c r="A8" s="1" t="s">
        <v>15</v>
      </c>
      <c r="B8" s="3">
        <v>1.87</v>
      </c>
      <c r="C8" s="3">
        <v>1.57</v>
      </c>
      <c r="D8" s="3">
        <v>3.07</v>
      </c>
      <c r="E8" s="3">
        <v>3.88</v>
      </c>
      <c r="F8" s="3">
        <v>4.7300000000000004</v>
      </c>
      <c r="G8" s="3">
        <v>4.47</v>
      </c>
      <c r="H8" s="3">
        <v>3.75</v>
      </c>
      <c r="I8" s="3">
        <v>3.62</v>
      </c>
    </row>
    <row r="9" spans="1:11" x14ac:dyDescent="0.35">
      <c r="A9" s="1" t="s">
        <v>16</v>
      </c>
      <c r="B9" s="3">
        <v>1.88</v>
      </c>
      <c r="C9" s="3">
        <v>1.57</v>
      </c>
      <c r="D9" s="3">
        <v>2.99</v>
      </c>
      <c r="E9" s="3">
        <v>3.86</v>
      </c>
      <c r="F9" s="3">
        <v>4.7699999999999996</v>
      </c>
      <c r="G9" s="3">
        <v>4.8600000000000003</v>
      </c>
      <c r="H9" s="3">
        <v>4</v>
      </c>
      <c r="I9" s="3">
        <v>3.7</v>
      </c>
    </row>
    <row r="10" spans="1:11" x14ac:dyDescent="0.35">
      <c r="A10" s="1" t="s">
        <v>17</v>
      </c>
      <c r="B10" s="3">
        <v>1.69</v>
      </c>
      <c r="C10" s="3">
        <v>1.32</v>
      </c>
      <c r="D10" s="3">
        <v>2.85</v>
      </c>
      <c r="E10" s="3">
        <v>3.65</v>
      </c>
      <c r="F10" s="3">
        <v>4.87</v>
      </c>
      <c r="G10" s="3">
        <v>4.5599999999999996</v>
      </c>
      <c r="H10" s="3">
        <v>4.0199999999999996</v>
      </c>
      <c r="I10" s="3">
        <v>3.31</v>
      </c>
    </row>
    <row r="11" spans="1:11" x14ac:dyDescent="0.35">
      <c r="A11" s="1" t="s">
        <v>18</v>
      </c>
      <c r="B11" s="3">
        <v>2.25</v>
      </c>
      <c r="C11" s="3">
        <v>2.06</v>
      </c>
      <c r="D11" s="3">
        <v>2.57</v>
      </c>
      <c r="E11" s="3">
        <v>2.67</v>
      </c>
      <c r="F11" s="3">
        <v>2.67</v>
      </c>
      <c r="G11" s="3">
        <v>2.57</v>
      </c>
      <c r="H11" s="3">
        <v>2.87</v>
      </c>
      <c r="I11" s="3">
        <v>3.27</v>
      </c>
    </row>
    <row r="12" spans="1:11" x14ac:dyDescent="0.35">
      <c r="A12" s="1" t="s">
        <v>19</v>
      </c>
      <c r="B12" s="3">
        <v>2.08</v>
      </c>
      <c r="C12" s="3">
        <v>1.83</v>
      </c>
      <c r="D12" s="3">
        <v>2.62</v>
      </c>
      <c r="E12" s="3">
        <v>2.61</v>
      </c>
      <c r="F12" s="3">
        <v>2.66</v>
      </c>
      <c r="G12" s="3">
        <v>2.72</v>
      </c>
      <c r="H12" s="3">
        <v>2.78</v>
      </c>
      <c r="I12" s="3">
        <v>2.85</v>
      </c>
    </row>
    <row r="13" spans="1:11" x14ac:dyDescent="0.35">
      <c r="A13" s="1" t="s">
        <v>20</v>
      </c>
      <c r="B13" s="3">
        <v>2.0299999999999998</v>
      </c>
      <c r="C13" s="3">
        <v>1.85</v>
      </c>
      <c r="D13" s="3">
        <v>2.84</v>
      </c>
      <c r="E13" s="3">
        <v>2.86</v>
      </c>
      <c r="F13" s="3">
        <v>2.87</v>
      </c>
      <c r="G13" s="3">
        <v>2.88</v>
      </c>
      <c r="H13" s="3">
        <v>2.89</v>
      </c>
      <c r="I13" s="3">
        <v>2.9</v>
      </c>
    </row>
    <row r="14" spans="1:11" x14ac:dyDescent="0.35">
      <c r="A14" s="2" t="s">
        <v>21</v>
      </c>
      <c r="B14" s="3">
        <f>MEDIAN(B2:B13)</f>
        <v>1.89</v>
      </c>
      <c r="C14" s="3">
        <f>MEDIAN(C2:C13)</f>
        <v>1.65</v>
      </c>
      <c r="D14" s="3">
        <f>MEDIAN(D2:D13)</f>
        <v>2.9000000000000004</v>
      </c>
      <c r="E14" s="3">
        <f>MEDIAN(E2:E13)</f>
        <v>2.9550000000000001</v>
      </c>
      <c r="F14" s="3">
        <f>MEDIAN(F2:F13)</f>
        <v>2.95</v>
      </c>
      <c r="G14" s="3">
        <f>MEDIAN(G2:G13)</f>
        <v>3.06</v>
      </c>
      <c r="H14" s="3">
        <f>MEDIAN(H2:H13)</f>
        <v>3.0649999999999999</v>
      </c>
      <c r="I14" s="3">
        <f>MEDIAN(I2:I13)</f>
        <v>3.2149999999999999</v>
      </c>
    </row>
    <row r="15" spans="1:11" x14ac:dyDescent="0.35">
      <c r="A15" s="2" t="s">
        <v>22</v>
      </c>
      <c r="B15" s="3">
        <f>AVERAGE(B2:B13)</f>
        <v>1.9916666666666671</v>
      </c>
      <c r="C15" s="3">
        <f>AVERAGE(C2:C13)</f>
        <v>1.6783333333333335</v>
      </c>
      <c r="D15" s="3">
        <f t="shared" ref="D15:I15" si="0">AVERAGE(D2:D13)</f>
        <v>2.8475000000000001</v>
      </c>
      <c r="E15" s="3">
        <f t="shared" si="0"/>
        <v>3.0824999999999996</v>
      </c>
      <c r="F15" s="3">
        <f t="shared" si="0"/>
        <v>3.3325</v>
      </c>
      <c r="G15" s="3">
        <f t="shared" si="0"/>
        <v>3.3383333333333329</v>
      </c>
      <c r="H15" s="3">
        <f t="shared" si="0"/>
        <v>3.2091666666666665</v>
      </c>
      <c r="I15" s="3">
        <f t="shared" si="0"/>
        <v>3.1575000000000002</v>
      </c>
    </row>
    <row r="17" spans="1:1" x14ac:dyDescent="0.35">
      <c r="A17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 Abourachid</cp:lastModifiedBy>
  <dcterms:created xsi:type="dcterms:W3CDTF">2026-07-07T05:35:15Z</dcterms:created>
  <dcterms:modified xsi:type="dcterms:W3CDTF">2026-07-13T23:26:46Z</dcterms:modified>
</cp:coreProperties>
</file>